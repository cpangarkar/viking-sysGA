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ang\analysis\viking-sysGA\config\"/>
    </mc:Choice>
  </mc:AlternateContent>
  <xr:revisionPtr revIDLastSave="0" documentId="13_ncr:1_{58A2369C-521A-4730-A163-8F6F7DAEEA49}" xr6:coauthVersionLast="47" xr6:coauthVersionMax="47" xr10:uidLastSave="{00000000-0000-0000-0000-000000000000}"/>
  <bookViews>
    <workbookView xWindow="-41535" yWindow="1440" windowWidth="28185" windowHeight="15345" xr2:uid="{171298C7-CA1E-4FFA-909E-4F89FDB1322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N24" i="1"/>
  <c r="O24" i="1"/>
  <c r="P24" i="1"/>
  <c r="N21" i="1"/>
  <c r="O21" i="1"/>
  <c r="P21" i="1"/>
  <c r="N22" i="1"/>
  <c r="O22" i="1"/>
  <c r="P22" i="1"/>
  <c r="N23" i="1"/>
  <c r="O23" i="1"/>
  <c r="P2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  <c r="N3" i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E9" i="1"/>
  <c r="E6" i="1"/>
  <c r="E2" i="1"/>
</calcChain>
</file>

<file path=xl/sharedStrings.xml><?xml version="1.0" encoding="utf-8"?>
<sst xmlns="http://schemas.openxmlformats.org/spreadsheetml/2006/main" count="276" uniqueCount="76">
  <si>
    <t>plot_lim_min</t>
  </si>
  <si>
    <t>plot_lim_max</t>
  </si>
  <si>
    <t>plot_lim_err</t>
  </si>
  <si>
    <t>plot_axis_log</t>
  </si>
  <si>
    <t>ref_low</t>
  </si>
  <si>
    <t>ref_high</t>
  </si>
  <si>
    <t>amr_low</t>
  </si>
  <si>
    <t>amr_high</t>
  </si>
  <si>
    <t>mdl1</t>
  </si>
  <si>
    <t>mdl2</t>
  </si>
  <si>
    <t>mdl3</t>
  </si>
  <si>
    <t>mdl4</t>
  </si>
  <si>
    <t>mdl5</t>
  </si>
  <si>
    <t>full_name</t>
  </si>
  <si>
    <t>ALT</t>
  </si>
  <si>
    <t>U/L</t>
  </si>
  <si>
    <t>NA</t>
  </si>
  <si>
    <t>Calcium</t>
  </si>
  <si>
    <t>Creatinine</t>
  </si>
  <si>
    <t>Glucose</t>
  </si>
  <si>
    <t>Total Cholestrol</t>
  </si>
  <si>
    <t>Triglycerides</t>
  </si>
  <si>
    <t>Alanine Aminotransferase</t>
  </si>
  <si>
    <t>Albumin</t>
  </si>
  <si>
    <t>ALB</t>
  </si>
  <si>
    <t>Alkaline Phosphatase</t>
  </si>
  <si>
    <t>ALP</t>
  </si>
  <si>
    <t>Aspartate Aminotransferase</t>
  </si>
  <si>
    <t>AST</t>
  </si>
  <si>
    <t>TBIL</t>
  </si>
  <si>
    <t>BUN</t>
  </si>
  <si>
    <t>CK</t>
  </si>
  <si>
    <t>GGT</t>
  </si>
  <si>
    <t>GLU</t>
  </si>
  <si>
    <t>LAC</t>
  </si>
  <si>
    <t>PHOS</t>
  </si>
  <si>
    <t>CHOL</t>
  </si>
  <si>
    <t>TP</t>
  </si>
  <si>
    <t>Blood Urea Nitrogen</t>
  </si>
  <si>
    <t>Creatine Kinase</t>
  </si>
  <si>
    <t>Gamma Glutamyltransferase</t>
  </si>
  <si>
    <t>Lactate</t>
  </si>
  <si>
    <t>Total Carbon Dioxide</t>
  </si>
  <si>
    <t>g/dL</t>
  </si>
  <si>
    <t>mg/dL</t>
  </si>
  <si>
    <t>mM</t>
  </si>
  <si>
    <t>meas</t>
  </si>
  <si>
    <t>units</t>
  </si>
  <si>
    <t>diffplot_type</t>
  </si>
  <si>
    <t>P</t>
  </si>
  <si>
    <t>A</t>
  </si>
  <si>
    <t>Total Protein</t>
  </si>
  <si>
    <t>Bilirubin, Total</t>
  </si>
  <si>
    <t>Ca</t>
  </si>
  <si>
    <t>TRIG</t>
  </si>
  <si>
    <t>rounding</t>
  </si>
  <si>
    <t>mdl6</t>
  </si>
  <si>
    <t>mdl7</t>
  </si>
  <si>
    <t>AMY</t>
  </si>
  <si>
    <t>CK_HD</t>
  </si>
  <si>
    <t>tCO2</t>
  </si>
  <si>
    <t>Amylase</t>
  </si>
  <si>
    <t>Creatine Kinase, HD</t>
  </si>
  <si>
    <t>Phosphorous</t>
  </si>
  <si>
    <t>CREA</t>
  </si>
  <si>
    <t>tea_high</t>
  </si>
  <si>
    <t>tea_low</t>
  </si>
  <si>
    <t>tea_ri</t>
  </si>
  <si>
    <t>K</t>
  </si>
  <si>
    <t>Na</t>
  </si>
  <si>
    <t>Cl</t>
  </si>
  <si>
    <t>Potassium</t>
  </si>
  <si>
    <t>Sodium</t>
  </si>
  <si>
    <t>Chloride</t>
  </si>
  <si>
    <t>Mg</t>
  </si>
  <si>
    <t>Magnesium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</si>
</sst>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Simplified%20Viking%20precision%20and%20bias%20targets.xlsx" TargetMode="External"/><Relationship Id="rId2" Type="http://schemas.openxmlformats.org/officeDocument/2006/relationships/externalLinkPath" Target="file:///C:\Users\cpang\Downloads\Simplified%20Viking%20precision%20and%20bias%20targets.xlsx" TargetMode="External"/><Relationship Id="rId1" Type="http://schemas.openxmlformats.org/officeDocument/2006/relationships/externalLinkPath" Target="/Users/cpang/Downloads/Simplified%20Viking%20precision%20and%20bias%20targ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3">
          <cell r="A3" t="str">
            <v>ALB</v>
          </cell>
          <cell r="B3">
            <v>15</v>
          </cell>
          <cell r="C3">
            <v>4.95</v>
          </cell>
          <cell r="D3">
            <v>7.5</v>
          </cell>
          <cell r="E3">
            <v>15</v>
          </cell>
          <cell r="F3">
            <v>4.95</v>
          </cell>
          <cell r="G3">
            <v>7.5</v>
          </cell>
          <cell r="H3">
            <v>15</v>
          </cell>
          <cell r="I3">
            <v>4.95</v>
          </cell>
          <cell r="J3">
            <v>7.5</v>
          </cell>
        </row>
        <row r="4">
          <cell r="A4" t="str">
            <v>ALP</v>
          </cell>
          <cell r="B4" t="str">
            <v>NCR</v>
          </cell>
          <cell r="E4">
            <v>25</v>
          </cell>
          <cell r="F4">
            <v>8.25</v>
          </cell>
          <cell r="G4">
            <v>12.5</v>
          </cell>
          <cell r="H4">
            <v>25</v>
          </cell>
          <cell r="I4">
            <v>8.25</v>
          </cell>
          <cell r="J4">
            <v>12.5</v>
          </cell>
        </row>
        <row r="5">
          <cell r="A5" t="str">
            <v>ALT</v>
          </cell>
          <cell r="B5" t="str">
            <v>NCR</v>
          </cell>
          <cell r="E5">
            <v>25</v>
          </cell>
          <cell r="F5">
            <v>8.25</v>
          </cell>
          <cell r="G5">
            <v>12.5</v>
          </cell>
          <cell r="H5">
            <v>25</v>
          </cell>
          <cell r="I5">
            <v>8.25</v>
          </cell>
          <cell r="J5">
            <v>12.5</v>
          </cell>
        </row>
        <row r="6">
          <cell r="A6" t="str">
            <v>AMY</v>
          </cell>
          <cell r="B6" t="str">
            <v>NCR</v>
          </cell>
          <cell r="E6">
            <v>25</v>
          </cell>
          <cell r="F6">
            <v>8.25</v>
          </cell>
          <cell r="G6">
            <v>12.5</v>
          </cell>
          <cell r="H6">
            <v>25</v>
          </cell>
          <cell r="I6">
            <v>8.25</v>
          </cell>
          <cell r="J6">
            <v>12.5</v>
          </cell>
        </row>
        <row r="7">
          <cell r="A7" t="str">
            <v>AST</v>
          </cell>
          <cell r="B7" t="str">
            <v>NCR</v>
          </cell>
          <cell r="E7">
            <v>30</v>
          </cell>
          <cell r="F7">
            <v>9.9</v>
          </cell>
          <cell r="G7">
            <v>15</v>
          </cell>
          <cell r="H7">
            <v>30</v>
          </cell>
          <cell r="I7">
            <v>9.9</v>
          </cell>
          <cell r="J7">
            <v>15</v>
          </cell>
        </row>
        <row r="8">
          <cell r="A8" t="str">
            <v>BUN</v>
          </cell>
          <cell r="B8">
            <v>15</v>
          </cell>
          <cell r="C8">
            <v>4.95</v>
          </cell>
          <cell r="D8">
            <v>7.5</v>
          </cell>
          <cell r="E8">
            <v>12</v>
          </cell>
          <cell r="F8">
            <v>3.96</v>
          </cell>
          <cell r="G8">
            <v>6</v>
          </cell>
          <cell r="H8">
            <v>12</v>
          </cell>
          <cell r="I8">
            <v>3.96</v>
          </cell>
          <cell r="J8">
            <v>6</v>
          </cell>
        </row>
        <row r="9">
          <cell r="A9" t="str">
            <v>Ca</v>
          </cell>
          <cell r="B9">
            <v>10</v>
          </cell>
          <cell r="C9">
            <v>3.3</v>
          </cell>
          <cell r="D9">
            <v>5</v>
          </cell>
          <cell r="E9">
            <v>10</v>
          </cell>
          <cell r="F9">
            <v>3.3</v>
          </cell>
          <cell r="G9">
            <v>5</v>
          </cell>
          <cell r="H9">
            <v>10</v>
          </cell>
          <cell r="I9">
            <v>3.3</v>
          </cell>
          <cell r="J9">
            <v>5</v>
          </cell>
        </row>
        <row r="10">
          <cell r="A10" t="str">
            <v>CHOL</v>
          </cell>
          <cell r="B10">
            <v>20</v>
          </cell>
          <cell r="C10">
            <v>6.6</v>
          </cell>
          <cell r="D10">
            <v>10</v>
          </cell>
          <cell r="E10">
            <v>20</v>
          </cell>
          <cell r="F10">
            <v>6.6</v>
          </cell>
          <cell r="G10">
            <v>10</v>
          </cell>
          <cell r="H10">
            <v>20</v>
          </cell>
          <cell r="I10">
            <v>6.6</v>
          </cell>
          <cell r="J10">
            <v>10</v>
          </cell>
        </row>
        <row r="11">
          <cell r="A11" t="str">
            <v>CK</v>
          </cell>
          <cell r="B11" t="str">
            <v>NCR</v>
          </cell>
          <cell r="E11">
            <v>30</v>
          </cell>
          <cell r="F11">
            <v>9.9</v>
          </cell>
          <cell r="G11">
            <v>15</v>
          </cell>
          <cell r="H11">
            <v>30</v>
          </cell>
          <cell r="I11">
            <v>9.9</v>
          </cell>
          <cell r="J11">
            <v>15</v>
          </cell>
        </row>
        <row r="12">
          <cell r="A12" t="str">
            <v>CK_HD</v>
          </cell>
          <cell r="B12" t="str">
            <v>NCR</v>
          </cell>
          <cell r="E12">
            <v>30</v>
          </cell>
          <cell r="F12">
            <v>9.9</v>
          </cell>
          <cell r="G12">
            <v>15</v>
          </cell>
          <cell r="H12">
            <v>30</v>
          </cell>
          <cell r="I12">
            <v>9.9</v>
          </cell>
          <cell r="J12">
            <v>15</v>
          </cell>
        </row>
        <row r="13">
          <cell r="A13" t="str">
            <v>Cl</v>
          </cell>
          <cell r="B13">
            <v>5</v>
          </cell>
          <cell r="C13">
            <v>1.65</v>
          </cell>
          <cell r="D13">
            <v>2.5</v>
          </cell>
          <cell r="E13">
            <v>5</v>
          </cell>
          <cell r="F13">
            <v>1.65</v>
          </cell>
          <cell r="G13">
            <v>2.5</v>
          </cell>
          <cell r="H13">
            <v>5</v>
          </cell>
          <cell r="I13">
            <v>1.65</v>
          </cell>
          <cell r="J13">
            <v>2.5</v>
          </cell>
        </row>
        <row r="14">
          <cell r="A14" t="str">
            <v>CREA</v>
          </cell>
          <cell r="B14">
            <v>20</v>
          </cell>
          <cell r="C14">
            <v>6.6</v>
          </cell>
          <cell r="D14">
            <v>10</v>
          </cell>
          <cell r="E14">
            <v>20</v>
          </cell>
          <cell r="F14">
            <v>6.6</v>
          </cell>
          <cell r="G14">
            <v>10</v>
          </cell>
          <cell r="H14">
            <v>20</v>
          </cell>
          <cell r="I14">
            <v>6.6</v>
          </cell>
          <cell r="J14">
            <v>10</v>
          </cell>
        </row>
        <row r="15">
          <cell r="A15" t="str">
            <v>GGT</v>
          </cell>
          <cell r="B15" t="str">
            <v>NCR</v>
          </cell>
          <cell r="E15">
            <v>20</v>
          </cell>
          <cell r="F15">
            <v>6.6</v>
          </cell>
          <cell r="G15">
            <v>10</v>
          </cell>
          <cell r="H15">
            <v>20</v>
          </cell>
          <cell r="I15">
            <v>6.6</v>
          </cell>
          <cell r="J15">
            <v>10</v>
          </cell>
        </row>
        <row r="16">
          <cell r="A16" t="str">
            <v>GLU</v>
          </cell>
          <cell r="B16">
            <v>10</v>
          </cell>
          <cell r="C16">
            <v>3.3</v>
          </cell>
          <cell r="D16">
            <v>5</v>
          </cell>
          <cell r="E16">
            <v>20</v>
          </cell>
          <cell r="F16">
            <v>6.6</v>
          </cell>
          <cell r="G16">
            <v>10</v>
          </cell>
          <cell r="H16">
            <v>20</v>
          </cell>
          <cell r="I16">
            <v>6.6</v>
          </cell>
          <cell r="J16">
            <v>10</v>
          </cell>
        </row>
        <row r="17">
          <cell r="A17" t="str">
            <v>K</v>
          </cell>
          <cell r="B17">
            <v>10</v>
          </cell>
          <cell r="C17">
            <v>3.3</v>
          </cell>
          <cell r="D17">
            <v>5</v>
          </cell>
          <cell r="E17">
            <v>5</v>
          </cell>
          <cell r="F17">
            <v>1.65</v>
          </cell>
          <cell r="G17">
            <v>2.5</v>
          </cell>
          <cell r="H17">
            <v>5</v>
          </cell>
          <cell r="I17">
            <v>1.65</v>
          </cell>
          <cell r="J17">
            <v>2.5</v>
          </cell>
        </row>
        <row r="18">
          <cell r="A18" t="str">
            <v>Mg</v>
          </cell>
          <cell r="B18">
            <v>20</v>
          </cell>
          <cell r="C18">
            <v>6.6</v>
          </cell>
          <cell r="D18">
            <v>10</v>
          </cell>
          <cell r="E18">
            <v>20</v>
          </cell>
          <cell r="F18">
            <v>6.6</v>
          </cell>
          <cell r="G18">
            <v>10</v>
          </cell>
          <cell r="H18">
            <v>20</v>
          </cell>
          <cell r="I18">
            <v>6.6</v>
          </cell>
          <cell r="J18">
            <v>10</v>
          </cell>
        </row>
        <row r="19">
          <cell r="A19" t="str">
            <v>Na</v>
          </cell>
          <cell r="B19">
            <v>5</v>
          </cell>
          <cell r="C19">
            <v>1.65</v>
          </cell>
          <cell r="D19">
            <v>2.5</v>
          </cell>
          <cell r="E19">
            <v>5</v>
          </cell>
          <cell r="F19">
            <v>1.65</v>
          </cell>
          <cell r="G19">
            <v>2.5</v>
          </cell>
          <cell r="H19">
            <v>5</v>
          </cell>
          <cell r="I19">
            <v>1.65</v>
          </cell>
          <cell r="J19">
            <v>2.5</v>
          </cell>
        </row>
        <row r="20">
          <cell r="A20" t="str">
            <v>PHOS</v>
          </cell>
          <cell r="B20">
            <v>20</v>
          </cell>
          <cell r="C20">
            <v>6.6</v>
          </cell>
          <cell r="D20">
            <v>10</v>
          </cell>
          <cell r="E20">
            <v>15</v>
          </cell>
          <cell r="F20">
            <v>4.95</v>
          </cell>
          <cell r="G20">
            <v>7.5</v>
          </cell>
          <cell r="H20">
            <v>15</v>
          </cell>
          <cell r="I20">
            <v>4.95</v>
          </cell>
          <cell r="J20">
            <v>7.5</v>
          </cell>
        </row>
        <row r="21">
          <cell r="A21" t="str">
            <v>TBIL</v>
          </cell>
          <cell r="B21" t="str">
            <v>NCR</v>
          </cell>
          <cell r="E21">
            <v>30</v>
          </cell>
          <cell r="F21">
            <v>9.9</v>
          </cell>
          <cell r="G21">
            <v>15</v>
          </cell>
          <cell r="H21">
            <v>30</v>
          </cell>
          <cell r="I21">
            <v>9.9</v>
          </cell>
          <cell r="J21">
            <v>15</v>
          </cell>
        </row>
        <row r="22">
          <cell r="A22" t="str">
            <v>tCO2</v>
          </cell>
          <cell r="B22">
            <v>20</v>
          </cell>
          <cell r="C22">
            <v>6.6</v>
          </cell>
          <cell r="D22">
            <v>10</v>
          </cell>
          <cell r="E22">
            <v>20</v>
          </cell>
          <cell r="F22">
            <v>6.6</v>
          </cell>
          <cell r="G22">
            <v>10</v>
          </cell>
          <cell r="H22">
            <v>20</v>
          </cell>
          <cell r="I22">
            <v>6.6</v>
          </cell>
          <cell r="J22">
            <v>10</v>
          </cell>
        </row>
        <row r="23">
          <cell r="A23" t="str">
            <v>TP</v>
          </cell>
          <cell r="B23">
            <v>10</v>
          </cell>
          <cell r="C23">
            <v>3.3</v>
          </cell>
          <cell r="D23">
            <v>5</v>
          </cell>
          <cell r="E23">
            <v>10</v>
          </cell>
          <cell r="F23">
            <v>3.3</v>
          </cell>
          <cell r="G23">
            <v>5</v>
          </cell>
          <cell r="H23">
            <v>10</v>
          </cell>
          <cell r="I23">
            <v>3.3</v>
          </cell>
          <cell r="J23">
            <v>5</v>
          </cell>
        </row>
        <row r="24">
          <cell r="A24" t="str">
            <v>TRIG</v>
          </cell>
          <cell r="B24" t="str">
            <v>NCR</v>
          </cell>
          <cell r="E24">
            <v>25</v>
          </cell>
          <cell r="F24">
            <v>8.25</v>
          </cell>
          <cell r="G24">
            <v>12.5</v>
          </cell>
          <cell r="H24">
            <v>25</v>
          </cell>
          <cell r="I24">
            <v>8.25</v>
          </cell>
          <cell r="J24">
            <v>12.5</v>
          </cell>
        </row>
        <row r="25">
          <cell r="A25" t="str">
            <v>LAC</v>
          </cell>
          <cell r="B25" t="str">
            <v>NCR</v>
          </cell>
          <cell r="E25">
            <v>40</v>
          </cell>
          <cell r="F25">
            <v>13.2</v>
          </cell>
          <cell r="G25">
            <v>20</v>
          </cell>
          <cell r="H25">
            <v>40</v>
          </cell>
          <cell r="I25">
            <v>13.2</v>
          </cell>
          <cell r="J25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1292-6CAD-43AD-97FE-F62CD00928DD}">
  <dimension ref="A1:W24"/>
  <sheetViews>
    <sheetView tabSelected="1" zoomScale="130" zoomScaleNormal="130" workbookViewId="0">
      <selection activeCell="K16" sqref="K16"/>
    </sheetView>
  </sheetViews>
  <sheetFormatPr defaultColWidth="9.140625" defaultRowHeight="15" x14ac:dyDescent="0.25"/>
  <cols>
    <col min="1" max="1" width="10.85546875" style="1" bestFit="1" customWidth="1"/>
    <col min="2" max="2" width="28.85546875" style="1" bestFit="1" customWidth="1"/>
    <col min="3" max="3" width="6" style="1" bestFit="1" customWidth="1"/>
    <col min="4" max="4" width="17" style="1" customWidth="1"/>
    <col min="5" max="5" width="12.85546875" style="1" customWidth="1"/>
    <col min="6" max="7" width="13.28515625" style="1" customWidth="1"/>
    <col min="8" max="8" width="12" style="1" customWidth="1"/>
    <col min="9" max="9" width="12.7109375" style="1" customWidth="1"/>
    <col min="10" max="10" width="10.28515625" style="1" customWidth="1"/>
    <col min="11" max="11" width="11.28515625" style="1" customWidth="1"/>
    <col min="12" max="12" width="10.28515625" style="1" bestFit="1" customWidth="1"/>
    <col min="13" max="13" width="10.85546875" style="1" bestFit="1" customWidth="1"/>
    <col min="14" max="14" width="8.42578125" style="1" bestFit="1" customWidth="1"/>
    <col min="15" max="15" width="9" style="1" bestFit="1" customWidth="1"/>
    <col min="16" max="16" width="11.28515625" style="3" bestFit="1" customWidth="1"/>
    <col min="17" max="21" width="9.140625" style="3"/>
    <col min="22" max="25" width="8.42578125" style="1" customWidth="1"/>
    <col min="26" max="26" width="13.85546875" style="1" customWidth="1"/>
    <col min="27" max="16384" width="9.140625" style="1"/>
  </cols>
  <sheetData>
    <row r="1" spans="1:23" x14ac:dyDescent="0.25">
      <c r="A1" s="1" t="s">
        <v>46</v>
      </c>
      <c r="B1" s="1" t="s">
        <v>13</v>
      </c>
      <c r="C1" s="1" t="s">
        <v>47</v>
      </c>
      <c r="D1" s="1" t="s">
        <v>55</v>
      </c>
      <c r="E1" s="1" t="s">
        <v>0</v>
      </c>
      <c r="F1" s="1" t="s">
        <v>1</v>
      </c>
      <c r="G1" s="1" t="s">
        <v>48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67</v>
      </c>
      <c r="O1" s="1" t="s">
        <v>66</v>
      </c>
      <c r="P1" s="3" t="s">
        <v>65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56</v>
      </c>
      <c r="W1" s="1" t="s">
        <v>57</v>
      </c>
    </row>
    <row r="2" spans="1:23" x14ac:dyDescent="0.25">
      <c r="A2" s="1" t="s">
        <v>14</v>
      </c>
      <c r="B2" s="1" t="s">
        <v>22</v>
      </c>
      <c r="C2" s="1" t="s">
        <v>15</v>
      </c>
      <c r="D2" s="1">
        <v>1</v>
      </c>
      <c r="E2" s="1">
        <f>L2</f>
        <v>30</v>
      </c>
      <c r="F2" s="1">
        <f>M2</f>
        <v>2000</v>
      </c>
      <c r="G2" s="1" t="s">
        <v>49</v>
      </c>
      <c r="H2" s="1">
        <v>30</v>
      </c>
      <c r="I2" s="1" t="str">
        <f>IF(M2/L2&gt;20, "T", "F")</f>
        <v>T</v>
      </c>
      <c r="J2" s="1">
        <v>17</v>
      </c>
      <c r="K2" s="1">
        <v>115</v>
      </c>
      <c r="L2" s="1">
        <v>30</v>
      </c>
      <c r="M2" s="1">
        <v>2000</v>
      </c>
      <c r="N2" s="1">
        <f>VLOOKUP(A2,[1]Sheet1!$A$3:$J$25,5,FALSE)</f>
        <v>25</v>
      </c>
      <c r="O2" s="1" t="str">
        <f>VLOOKUP(A2,[1]Sheet1!$A$3:$B$25,2,FALSE)</f>
        <v>NCR</v>
      </c>
      <c r="P2" s="3">
        <f>VLOOKUP(A2,[1]Sheet1!$A$3:$H$25,8,FALSE)</f>
        <v>25</v>
      </c>
      <c r="Q2" s="1" t="s">
        <v>16</v>
      </c>
      <c r="R2" s="1" t="s">
        <v>16</v>
      </c>
      <c r="S2" s="1" t="s">
        <v>16</v>
      </c>
      <c r="T2" s="1" t="s">
        <v>16</v>
      </c>
      <c r="U2" s="1" t="s">
        <v>16</v>
      </c>
      <c r="V2" s="1" t="s">
        <v>16</v>
      </c>
      <c r="W2" s="1" t="s">
        <v>16</v>
      </c>
    </row>
    <row r="3" spans="1:23" x14ac:dyDescent="0.25">
      <c r="A3" s="1" t="s">
        <v>24</v>
      </c>
      <c r="B3" s="1" t="s">
        <v>23</v>
      </c>
      <c r="C3" s="1" t="s">
        <v>43</v>
      </c>
      <c r="D3" s="1">
        <v>2</v>
      </c>
      <c r="E3" s="1">
        <v>1.5</v>
      </c>
      <c r="F3" s="1">
        <f t="shared" ref="F3:F24" si="0">M3</f>
        <v>6.5</v>
      </c>
      <c r="G3" s="1" t="s">
        <v>49</v>
      </c>
      <c r="H3" s="1">
        <v>30</v>
      </c>
      <c r="I3" s="1" t="str">
        <f t="shared" ref="I3:I24" si="1">IF(M3/L3&gt;20, "T", "F")</f>
        <v>F</v>
      </c>
      <c r="J3" s="1">
        <v>2.5</v>
      </c>
      <c r="K3" s="1">
        <v>4.4000000000000004</v>
      </c>
      <c r="L3" s="1">
        <v>0.5</v>
      </c>
      <c r="M3" s="1">
        <v>6.5</v>
      </c>
      <c r="N3" s="1">
        <f>VLOOKUP(A3,[1]Sheet1!$A$3:$J$25,5,FALSE)</f>
        <v>15</v>
      </c>
      <c r="O3" s="1">
        <f>VLOOKUP(A3,[1]Sheet1!$A$3:$B$25,2,FALSE)</f>
        <v>15</v>
      </c>
      <c r="P3" s="3">
        <f>VLOOKUP(A3,[1]Sheet1!$A$3:$H$25,8,FALSE)</f>
        <v>15</v>
      </c>
      <c r="Q3" s="1" t="s">
        <v>16</v>
      </c>
      <c r="R3" s="1" t="s">
        <v>16</v>
      </c>
      <c r="S3" s="1" t="s">
        <v>16</v>
      </c>
      <c r="T3" s="1" t="s">
        <v>16</v>
      </c>
      <c r="U3" s="1" t="s">
        <v>16</v>
      </c>
      <c r="V3" s="1" t="s">
        <v>16</v>
      </c>
      <c r="W3" s="1" t="s">
        <v>16</v>
      </c>
    </row>
    <row r="4" spans="1:23" x14ac:dyDescent="0.25">
      <c r="A4" s="1" t="s">
        <v>26</v>
      </c>
      <c r="B4" s="1" t="s">
        <v>25</v>
      </c>
      <c r="C4" s="1" t="s">
        <v>15</v>
      </c>
      <c r="D4" s="1">
        <v>1</v>
      </c>
      <c r="E4" s="1">
        <v>20</v>
      </c>
      <c r="F4" s="1">
        <f t="shared" si="0"/>
        <v>2400</v>
      </c>
      <c r="G4" s="1" t="s">
        <v>49</v>
      </c>
      <c r="H4" s="1">
        <v>30</v>
      </c>
      <c r="I4" s="1" t="str">
        <f t="shared" si="1"/>
        <v>T</v>
      </c>
      <c r="J4" s="1">
        <v>20</v>
      </c>
      <c r="K4" s="1">
        <v>150</v>
      </c>
      <c r="L4" s="1">
        <v>5</v>
      </c>
      <c r="M4" s="1">
        <v>2400</v>
      </c>
      <c r="N4" s="1">
        <f>VLOOKUP(A4,[1]Sheet1!$A$3:$J$25,5,FALSE)</f>
        <v>25</v>
      </c>
      <c r="O4" s="1" t="str">
        <f>VLOOKUP(A4,[1]Sheet1!$A$3:$B$25,2,FALSE)</f>
        <v>NCR</v>
      </c>
      <c r="P4" s="3">
        <f>VLOOKUP(A4,[1]Sheet1!$A$3:$H$25,8,FALSE)</f>
        <v>25</v>
      </c>
      <c r="Q4" s="1" t="s">
        <v>16</v>
      </c>
      <c r="R4" s="1" t="s">
        <v>16</v>
      </c>
      <c r="S4" s="1" t="s">
        <v>16</v>
      </c>
      <c r="T4" s="1" t="s">
        <v>16</v>
      </c>
      <c r="U4" s="1" t="s">
        <v>16</v>
      </c>
      <c r="V4" s="1" t="s">
        <v>16</v>
      </c>
      <c r="W4" s="1" t="s">
        <v>16</v>
      </c>
    </row>
    <row r="5" spans="1:23" x14ac:dyDescent="0.25">
      <c r="A5" s="1" t="s">
        <v>28</v>
      </c>
      <c r="B5" s="1" t="s">
        <v>27</v>
      </c>
      <c r="C5" s="1" t="s">
        <v>15</v>
      </c>
      <c r="D5" s="1">
        <v>1</v>
      </c>
      <c r="E5" s="1">
        <v>5</v>
      </c>
      <c r="F5" s="1">
        <f t="shared" si="0"/>
        <v>2000</v>
      </c>
      <c r="G5" s="1" t="s">
        <v>49</v>
      </c>
      <c r="H5" s="1">
        <v>30</v>
      </c>
      <c r="I5" s="1" t="str">
        <f t="shared" si="1"/>
        <v>T</v>
      </c>
      <c r="J5" s="1">
        <v>14</v>
      </c>
      <c r="K5" s="1">
        <v>45</v>
      </c>
      <c r="L5" s="1">
        <v>30</v>
      </c>
      <c r="M5" s="1">
        <v>2000</v>
      </c>
      <c r="N5" s="1">
        <f>VLOOKUP(A5,[1]Sheet1!$A$3:$J$25,5,FALSE)</f>
        <v>30</v>
      </c>
      <c r="O5" s="1" t="str">
        <f>VLOOKUP(A5,[1]Sheet1!$A$3:$B$25,2,FALSE)</f>
        <v>NCR</v>
      </c>
      <c r="P5" s="3">
        <f>VLOOKUP(A5,[1]Sheet1!$A$3:$H$25,8,FALSE)</f>
        <v>30</v>
      </c>
      <c r="Q5" s="1" t="s">
        <v>16</v>
      </c>
      <c r="R5" s="1" t="s">
        <v>16</v>
      </c>
      <c r="S5" s="1" t="s">
        <v>16</v>
      </c>
      <c r="T5" s="1" t="s">
        <v>16</v>
      </c>
      <c r="U5" s="1" t="s">
        <v>16</v>
      </c>
      <c r="V5" s="1" t="s">
        <v>16</v>
      </c>
      <c r="W5" s="1" t="s">
        <v>16</v>
      </c>
    </row>
    <row r="6" spans="1:23" x14ac:dyDescent="0.25">
      <c r="A6" s="1" t="s">
        <v>29</v>
      </c>
      <c r="B6" s="1" t="s">
        <v>52</v>
      </c>
      <c r="C6" s="1" t="s">
        <v>44</v>
      </c>
      <c r="D6" s="1">
        <v>2</v>
      </c>
      <c r="E6" s="1">
        <f t="shared" ref="E6" si="2">L6</f>
        <v>0.4</v>
      </c>
      <c r="F6" s="1">
        <f t="shared" si="0"/>
        <v>27.5</v>
      </c>
      <c r="G6" s="1" t="s">
        <v>50</v>
      </c>
      <c r="H6" s="1">
        <v>30</v>
      </c>
      <c r="I6" s="1" t="str">
        <f t="shared" si="1"/>
        <v>T</v>
      </c>
      <c r="J6" s="1">
        <v>0.4</v>
      </c>
      <c r="K6" s="1">
        <v>0.6</v>
      </c>
      <c r="L6" s="1">
        <v>0.4</v>
      </c>
      <c r="M6" s="1">
        <v>27.5</v>
      </c>
      <c r="N6" s="1">
        <f>VLOOKUP(A6,[1]Sheet1!$A$3:$J$25,5,FALSE)</f>
        <v>30</v>
      </c>
      <c r="O6" s="1" t="str">
        <f>VLOOKUP(A6,[1]Sheet1!$A$3:$B$25,2,FALSE)</f>
        <v>NCR</v>
      </c>
      <c r="P6" s="3">
        <f>VLOOKUP(A6,[1]Sheet1!$A$3:$H$25,8,FALSE)</f>
        <v>30</v>
      </c>
      <c r="Q6" s="1" t="s">
        <v>16</v>
      </c>
      <c r="R6" s="1" t="s">
        <v>16</v>
      </c>
      <c r="S6" s="1" t="s">
        <v>16</v>
      </c>
      <c r="T6" s="1" t="s">
        <v>16</v>
      </c>
      <c r="U6" s="1" t="s">
        <v>16</v>
      </c>
      <c r="V6" s="1" t="s">
        <v>16</v>
      </c>
      <c r="W6" s="1" t="s">
        <v>16</v>
      </c>
    </row>
    <row r="7" spans="1:23" x14ac:dyDescent="0.25">
      <c r="A7" s="1" t="s">
        <v>30</v>
      </c>
      <c r="B7" s="1" t="s">
        <v>38</v>
      </c>
      <c r="C7" s="1" t="s">
        <v>44</v>
      </c>
      <c r="D7" s="1">
        <v>2</v>
      </c>
      <c r="E7" s="1">
        <v>3</v>
      </c>
      <c r="F7" s="1">
        <f t="shared" si="0"/>
        <v>180</v>
      </c>
      <c r="G7" s="1" t="s">
        <v>49</v>
      </c>
      <c r="H7" s="1">
        <v>30</v>
      </c>
      <c r="I7" s="1" t="str">
        <f t="shared" si="1"/>
        <v>T</v>
      </c>
      <c r="J7" s="1">
        <v>7</v>
      </c>
      <c r="K7" s="1">
        <v>25</v>
      </c>
      <c r="L7" s="1">
        <v>4</v>
      </c>
      <c r="M7" s="1">
        <v>180</v>
      </c>
      <c r="N7" s="1">
        <f>VLOOKUP(A7,[1]Sheet1!$A$3:$J$25,5,FALSE)</f>
        <v>12</v>
      </c>
      <c r="O7" s="1">
        <f>VLOOKUP(A7,[1]Sheet1!$A$3:$B$25,2,FALSE)</f>
        <v>15</v>
      </c>
      <c r="P7" s="3">
        <f>VLOOKUP(A7,[1]Sheet1!$A$3:$H$25,8,FALSE)</f>
        <v>12</v>
      </c>
      <c r="Q7" s="1" t="s">
        <v>16</v>
      </c>
      <c r="R7" s="1" t="s">
        <v>16</v>
      </c>
      <c r="S7" s="1" t="s">
        <v>16</v>
      </c>
      <c r="T7" s="1" t="s">
        <v>16</v>
      </c>
      <c r="U7" s="1" t="s">
        <v>16</v>
      </c>
      <c r="V7" s="1" t="s">
        <v>16</v>
      </c>
      <c r="W7" s="1" t="s">
        <v>16</v>
      </c>
    </row>
    <row r="8" spans="1:23" x14ac:dyDescent="0.25">
      <c r="A8" s="1" t="s">
        <v>53</v>
      </c>
      <c r="B8" s="1" t="s">
        <v>17</v>
      </c>
      <c r="C8" s="1" t="s">
        <v>44</v>
      </c>
      <c r="D8" s="1">
        <v>2</v>
      </c>
      <c r="E8" s="1">
        <v>7</v>
      </c>
      <c r="F8" s="1">
        <f t="shared" si="0"/>
        <v>20</v>
      </c>
      <c r="G8" s="1" t="s">
        <v>49</v>
      </c>
      <c r="H8" s="1">
        <v>30</v>
      </c>
      <c r="I8" s="1" t="str">
        <f t="shared" si="1"/>
        <v>F</v>
      </c>
      <c r="J8" s="1">
        <v>8.6</v>
      </c>
      <c r="K8" s="1">
        <v>11.8</v>
      </c>
      <c r="L8" s="1">
        <v>4</v>
      </c>
      <c r="M8" s="1">
        <v>20</v>
      </c>
      <c r="N8" s="1">
        <f>VLOOKUP(A8,[1]Sheet1!$A$3:$J$25,5,FALSE)</f>
        <v>10</v>
      </c>
      <c r="O8" s="1">
        <f>VLOOKUP(A8,[1]Sheet1!$A$3:$B$25,2,FALSE)</f>
        <v>10</v>
      </c>
      <c r="P8" s="3">
        <f>VLOOKUP(A8,[1]Sheet1!$A$3:$H$25,8,FALSE)</f>
        <v>10</v>
      </c>
      <c r="Q8" s="1" t="s">
        <v>16</v>
      </c>
      <c r="R8" s="1" t="s">
        <v>16</v>
      </c>
      <c r="S8" s="1" t="s">
        <v>16</v>
      </c>
      <c r="T8" s="1" t="s">
        <v>16</v>
      </c>
      <c r="U8" s="1" t="s">
        <v>16</v>
      </c>
      <c r="V8" s="1" t="s">
        <v>16</v>
      </c>
      <c r="W8" s="1" t="s">
        <v>16</v>
      </c>
    </row>
    <row r="9" spans="1:23" x14ac:dyDescent="0.25">
      <c r="A9" s="1" t="s">
        <v>64</v>
      </c>
      <c r="B9" s="1" t="s">
        <v>18</v>
      </c>
      <c r="C9" s="1" t="s">
        <v>44</v>
      </c>
      <c r="D9" s="1">
        <v>2</v>
      </c>
      <c r="E9" s="1">
        <f>L9</f>
        <v>0.2</v>
      </c>
      <c r="F9" s="1">
        <f t="shared" si="0"/>
        <v>15</v>
      </c>
      <c r="G9" s="1" t="s">
        <v>49</v>
      </c>
      <c r="H9" s="1">
        <v>30</v>
      </c>
      <c r="I9" s="1" t="str">
        <f t="shared" si="1"/>
        <v>T</v>
      </c>
      <c r="J9" s="1">
        <v>0.3</v>
      </c>
      <c r="K9" s="1">
        <v>1.4</v>
      </c>
      <c r="L9" s="1">
        <v>0.2</v>
      </c>
      <c r="M9" s="1">
        <v>15</v>
      </c>
      <c r="N9" s="1">
        <f>VLOOKUP(A9,[1]Sheet1!$A$3:$J$25,5,FALSE)</f>
        <v>20</v>
      </c>
      <c r="O9" s="1">
        <f>VLOOKUP(A9,[1]Sheet1!$A$3:$B$25,2,FALSE)</f>
        <v>20</v>
      </c>
      <c r="P9" s="3">
        <f>VLOOKUP(A9,[1]Sheet1!$A$3:$H$25,8,FALSE)</f>
        <v>20</v>
      </c>
      <c r="Q9" s="1" t="s">
        <v>16</v>
      </c>
      <c r="R9" s="1" t="s">
        <v>16</v>
      </c>
      <c r="S9" s="1" t="s">
        <v>16</v>
      </c>
      <c r="T9" s="1" t="s">
        <v>16</v>
      </c>
      <c r="U9" s="1" t="s">
        <v>16</v>
      </c>
      <c r="V9" s="1" t="s">
        <v>16</v>
      </c>
      <c r="W9" s="1" t="s">
        <v>16</v>
      </c>
    </row>
    <row r="10" spans="1:23" x14ac:dyDescent="0.25">
      <c r="A10" s="1" t="s">
        <v>32</v>
      </c>
      <c r="B10" s="1" t="s">
        <v>40</v>
      </c>
      <c r="C10" s="1" t="s">
        <v>15</v>
      </c>
      <c r="D10" s="1">
        <v>1</v>
      </c>
      <c r="E10" s="1">
        <v>8</v>
      </c>
      <c r="F10" s="1">
        <f t="shared" si="0"/>
        <v>280</v>
      </c>
      <c r="G10" s="1" t="s">
        <v>49</v>
      </c>
      <c r="H10" s="1">
        <v>30</v>
      </c>
      <c r="I10" s="1" t="str">
        <f t="shared" si="1"/>
        <v>T</v>
      </c>
      <c r="J10" s="1">
        <v>0</v>
      </c>
      <c r="K10" s="1">
        <v>7</v>
      </c>
      <c r="L10" s="1">
        <v>2</v>
      </c>
      <c r="M10" s="1">
        <v>280</v>
      </c>
      <c r="N10" s="1">
        <f>VLOOKUP(A10,[1]Sheet1!$A$3:$J$25,5,FALSE)</f>
        <v>20</v>
      </c>
      <c r="O10" s="1" t="str">
        <f>VLOOKUP(A10,[1]Sheet1!$A$3:$B$25,2,FALSE)</f>
        <v>NCR</v>
      </c>
      <c r="P10" s="3">
        <f>VLOOKUP(A10,[1]Sheet1!$A$3:$H$25,8,FALSE)</f>
        <v>20</v>
      </c>
      <c r="Q10" s="1" t="s">
        <v>16</v>
      </c>
      <c r="R10" s="1" t="s">
        <v>16</v>
      </c>
      <c r="S10" s="1" t="s">
        <v>16</v>
      </c>
      <c r="T10" s="1" t="s">
        <v>16</v>
      </c>
      <c r="U10" s="1" t="s">
        <v>16</v>
      </c>
      <c r="V10" s="1" t="s">
        <v>16</v>
      </c>
      <c r="W10" s="1" t="s">
        <v>16</v>
      </c>
    </row>
    <row r="11" spans="1:23" x14ac:dyDescent="0.25">
      <c r="A11" s="1" t="s">
        <v>33</v>
      </c>
      <c r="B11" s="1" t="s">
        <v>19</v>
      </c>
      <c r="C11" s="1" t="s">
        <v>44</v>
      </c>
      <c r="D11" s="1">
        <v>1</v>
      </c>
      <c r="E11" s="1">
        <v>40</v>
      </c>
      <c r="F11" s="1">
        <f t="shared" si="0"/>
        <v>500</v>
      </c>
      <c r="G11" s="1" t="s">
        <v>49</v>
      </c>
      <c r="H11" s="1">
        <v>30</v>
      </c>
      <c r="I11" s="1" t="str">
        <f t="shared" si="1"/>
        <v>F</v>
      </c>
      <c r="J11" s="1">
        <v>60</v>
      </c>
      <c r="K11" s="1">
        <v>110</v>
      </c>
      <c r="L11" s="1">
        <v>25</v>
      </c>
      <c r="M11" s="1">
        <v>500</v>
      </c>
      <c r="N11" s="1">
        <f>VLOOKUP(A11,[1]Sheet1!$A$3:$J$25,5,FALSE)</f>
        <v>20</v>
      </c>
      <c r="O11" s="1">
        <f>VLOOKUP(A11,[1]Sheet1!$A$3:$B$25,2,FALSE)</f>
        <v>10</v>
      </c>
      <c r="P11" s="3">
        <f>VLOOKUP(A11,[1]Sheet1!$A$3:$H$25,8,FALSE)</f>
        <v>20</v>
      </c>
      <c r="Q11" s="1" t="s">
        <v>16</v>
      </c>
      <c r="R11" s="1" t="s">
        <v>16</v>
      </c>
      <c r="S11" s="1" t="s">
        <v>16</v>
      </c>
      <c r="T11" s="1" t="s">
        <v>16</v>
      </c>
      <c r="U11" s="1" t="s">
        <v>16</v>
      </c>
      <c r="V11" s="1" t="s">
        <v>16</v>
      </c>
      <c r="W11" s="1" t="s">
        <v>16</v>
      </c>
    </row>
    <row r="12" spans="1:23" x14ac:dyDescent="0.25">
      <c r="A12" s="1" t="s">
        <v>36</v>
      </c>
      <c r="B12" s="1" t="s">
        <v>20</v>
      </c>
      <c r="C12" s="2" t="s">
        <v>44</v>
      </c>
      <c r="D12" s="1">
        <v>1</v>
      </c>
      <c r="E12" s="1">
        <v>50</v>
      </c>
      <c r="F12" s="1">
        <f t="shared" si="0"/>
        <v>500</v>
      </c>
      <c r="G12" s="1" t="s">
        <v>49</v>
      </c>
      <c r="H12" s="1">
        <v>30</v>
      </c>
      <c r="I12" s="1" t="str">
        <f t="shared" si="1"/>
        <v>T</v>
      </c>
      <c r="J12" s="1">
        <v>125</v>
      </c>
      <c r="K12" s="1">
        <v>270</v>
      </c>
      <c r="L12" s="1">
        <v>20</v>
      </c>
      <c r="M12" s="1">
        <v>500</v>
      </c>
      <c r="N12" s="1">
        <f>VLOOKUP(A12,[1]Sheet1!$A$3:$J$25,5,FALSE)</f>
        <v>20</v>
      </c>
      <c r="O12" s="1">
        <f>VLOOKUP(A12,[1]Sheet1!$A$3:$B$25,2,FALSE)</f>
        <v>20</v>
      </c>
      <c r="P12" s="3">
        <f>VLOOKUP(A12,[1]Sheet1!$A$3:$H$25,8,FALSE)</f>
        <v>20</v>
      </c>
      <c r="Q12" s="1" t="s">
        <v>16</v>
      </c>
      <c r="R12" s="1" t="s">
        <v>16</v>
      </c>
      <c r="S12" s="1" t="s">
        <v>16</v>
      </c>
      <c r="T12" s="1" t="s">
        <v>16</v>
      </c>
      <c r="U12" s="1" t="s">
        <v>16</v>
      </c>
      <c r="V12" s="1" t="s">
        <v>16</v>
      </c>
      <c r="W12" s="1" t="s">
        <v>16</v>
      </c>
    </row>
    <row r="13" spans="1:23" x14ac:dyDescent="0.25">
      <c r="A13" s="1" t="s">
        <v>37</v>
      </c>
      <c r="B13" s="1" t="s">
        <v>51</v>
      </c>
      <c r="C13" s="1" t="s">
        <v>43</v>
      </c>
      <c r="D13" s="1">
        <v>1</v>
      </c>
      <c r="E13" s="1">
        <v>3</v>
      </c>
      <c r="F13" s="1">
        <f t="shared" si="0"/>
        <v>14</v>
      </c>
      <c r="G13" s="1" t="s">
        <v>49</v>
      </c>
      <c r="H13" s="1">
        <v>30</v>
      </c>
      <c r="I13" s="1" t="str">
        <f t="shared" si="1"/>
        <v>F</v>
      </c>
      <c r="J13" s="1">
        <v>5.4</v>
      </c>
      <c r="K13" s="1">
        <v>8.1999999999999993</v>
      </c>
      <c r="L13" s="1">
        <v>2</v>
      </c>
      <c r="M13" s="1">
        <v>14</v>
      </c>
      <c r="N13" s="1">
        <f>VLOOKUP(A13,[1]Sheet1!$A$3:$J$25,5,FALSE)</f>
        <v>10</v>
      </c>
      <c r="O13" s="1">
        <f>VLOOKUP(A13,[1]Sheet1!$A$3:$B$25,2,FALSE)</f>
        <v>10</v>
      </c>
      <c r="P13" s="3">
        <f>VLOOKUP(A13,[1]Sheet1!$A$3:$H$25,8,FALSE)</f>
        <v>10</v>
      </c>
      <c r="Q13" s="1" t="s">
        <v>16</v>
      </c>
      <c r="R13" s="1" t="s">
        <v>16</v>
      </c>
      <c r="S13" s="1" t="s">
        <v>16</v>
      </c>
      <c r="T13" s="1" t="s">
        <v>16</v>
      </c>
      <c r="U13" s="1" t="s">
        <v>16</v>
      </c>
      <c r="V13" s="1" t="s">
        <v>16</v>
      </c>
      <c r="W13" s="1" t="s">
        <v>16</v>
      </c>
    </row>
    <row r="14" spans="1:23" x14ac:dyDescent="0.25">
      <c r="A14" s="1" t="s">
        <v>54</v>
      </c>
      <c r="B14" s="1" t="s">
        <v>21</v>
      </c>
      <c r="C14" s="2" t="s">
        <v>44</v>
      </c>
      <c r="D14" s="1">
        <v>0</v>
      </c>
      <c r="E14" s="1">
        <v>30</v>
      </c>
      <c r="F14" s="1">
        <f t="shared" si="0"/>
        <v>375</v>
      </c>
      <c r="G14" s="1" t="s">
        <v>49</v>
      </c>
      <c r="H14" s="1">
        <v>30</v>
      </c>
      <c r="I14" s="1" t="str">
        <f t="shared" si="1"/>
        <v>F</v>
      </c>
      <c r="J14" s="1">
        <v>19</v>
      </c>
      <c r="K14" s="1">
        <v>133</v>
      </c>
      <c r="L14" s="1">
        <v>20</v>
      </c>
      <c r="M14" s="1">
        <v>375</v>
      </c>
      <c r="N14" s="1">
        <f>VLOOKUP(A14,[1]Sheet1!$A$3:$J$25,5,FALSE)</f>
        <v>25</v>
      </c>
      <c r="O14" s="1" t="str">
        <f>VLOOKUP(A14,[1]Sheet1!$A$3:$B$25,2,FALSE)</f>
        <v>NCR</v>
      </c>
      <c r="P14" s="3">
        <f>VLOOKUP(A14,[1]Sheet1!$A$3:$H$25,8,FALSE)</f>
        <v>25</v>
      </c>
      <c r="Q14" s="1" t="s">
        <v>16</v>
      </c>
      <c r="R14" s="1" t="s">
        <v>16</v>
      </c>
      <c r="S14" s="1" t="s">
        <v>16</v>
      </c>
      <c r="T14" s="1" t="s">
        <v>16</v>
      </c>
      <c r="U14" s="1" t="s">
        <v>16</v>
      </c>
      <c r="V14" s="1" t="s">
        <v>16</v>
      </c>
      <c r="W14" s="1" t="s">
        <v>16</v>
      </c>
    </row>
    <row r="15" spans="1:23" x14ac:dyDescent="0.25">
      <c r="A15" s="1" t="s">
        <v>58</v>
      </c>
      <c r="B15" s="1" t="s">
        <v>61</v>
      </c>
      <c r="C15" s="1" t="s">
        <v>15</v>
      </c>
      <c r="D15" s="1">
        <v>0</v>
      </c>
      <c r="E15" s="1">
        <v>100</v>
      </c>
      <c r="F15" s="1">
        <f t="shared" si="0"/>
        <v>4000</v>
      </c>
      <c r="G15" s="1" t="s">
        <v>49</v>
      </c>
      <c r="H15" s="1">
        <v>30</v>
      </c>
      <c r="I15" s="1" t="str">
        <f t="shared" si="1"/>
        <v>T</v>
      </c>
      <c r="J15" s="1">
        <v>200</v>
      </c>
      <c r="K15" s="1">
        <v>1200</v>
      </c>
      <c r="L15" s="1">
        <v>180</v>
      </c>
      <c r="M15" s="1">
        <v>4000</v>
      </c>
      <c r="N15" s="1">
        <f>VLOOKUP(A15,[1]Sheet1!$A$3:$J$25,5,FALSE)</f>
        <v>25</v>
      </c>
      <c r="O15" s="1" t="str">
        <f>VLOOKUP(A15,[1]Sheet1!$A$3:$B$25,2,FALSE)</f>
        <v>NCR</v>
      </c>
      <c r="P15" s="3">
        <f>VLOOKUP(A15,[1]Sheet1!$A$3:$H$25,8,FALSE)</f>
        <v>25</v>
      </c>
      <c r="Q15" s="1" t="s">
        <v>16</v>
      </c>
      <c r="R15" s="1" t="s">
        <v>16</v>
      </c>
      <c r="S15" s="1" t="s">
        <v>16</v>
      </c>
      <c r="T15" s="1" t="s">
        <v>16</v>
      </c>
      <c r="U15" s="1" t="s">
        <v>16</v>
      </c>
      <c r="V15" s="1" t="s">
        <v>16</v>
      </c>
      <c r="W15" s="1" t="s">
        <v>16</v>
      </c>
    </row>
    <row r="16" spans="1:23" x14ac:dyDescent="0.25">
      <c r="A16" s="1" t="s">
        <v>31</v>
      </c>
      <c r="B16" s="1" t="s">
        <v>39</v>
      </c>
      <c r="C16" s="1" t="s">
        <v>15</v>
      </c>
      <c r="D16" s="1">
        <v>1</v>
      </c>
      <c r="E16" s="1">
        <v>5</v>
      </c>
      <c r="F16" s="1">
        <f t="shared" si="0"/>
        <v>1000</v>
      </c>
      <c r="G16" s="1" t="s">
        <v>49</v>
      </c>
      <c r="H16" s="1">
        <v>30</v>
      </c>
      <c r="I16" s="1" t="str">
        <f t="shared" si="1"/>
        <v>T</v>
      </c>
      <c r="J16" s="1">
        <v>10</v>
      </c>
      <c r="K16" s="1">
        <v>200</v>
      </c>
      <c r="L16" s="1">
        <v>6</v>
      </c>
      <c r="M16" s="1">
        <v>1000</v>
      </c>
      <c r="N16" s="1">
        <f>VLOOKUP(A16,[1]Sheet1!$A$3:$J$25,5,FALSE)</f>
        <v>30</v>
      </c>
      <c r="O16" s="1" t="str">
        <f>VLOOKUP(A16,[1]Sheet1!$A$3:$B$25,2,FALSE)</f>
        <v>NCR</v>
      </c>
      <c r="P16" s="3">
        <f>VLOOKUP(A16,[1]Sheet1!$A$3:$H$25,8,FALSE)</f>
        <v>30</v>
      </c>
      <c r="Q16" s="1" t="s">
        <v>16</v>
      </c>
      <c r="R16" s="1" t="s">
        <v>16</v>
      </c>
      <c r="S16" s="1" t="s">
        <v>16</v>
      </c>
      <c r="T16" s="1" t="s">
        <v>16</v>
      </c>
      <c r="U16" s="1" t="s">
        <v>16</v>
      </c>
      <c r="V16" s="1" t="s">
        <v>16</v>
      </c>
      <c r="W16" s="1" t="s">
        <v>16</v>
      </c>
    </row>
    <row r="17" spans="1:23" x14ac:dyDescent="0.25">
      <c r="A17" s="1" t="s">
        <v>59</v>
      </c>
      <c r="B17" s="1" t="s">
        <v>62</v>
      </c>
      <c r="C17" s="1" t="s">
        <v>15</v>
      </c>
      <c r="D17" s="1">
        <v>1</v>
      </c>
      <c r="E17" s="1">
        <v>5</v>
      </c>
      <c r="F17" s="1">
        <f t="shared" si="0"/>
        <v>14000</v>
      </c>
      <c r="G17" s="1" t="s">
        <v>49</v>
      </c>
      <c r="H17" s="1">
        <v>30</v>
      </c>
      <c r="I17" s="1" t="str">
        <f t="shared" si="1"/>
        <v>F</v>
      </c>
      <c r="J17" s="1">
        <v>10</v>
      </c>
      <c r="K17" s="1">
        <v>200</v>
      </c>
      <c r="L17" s="1">
        <v>1000</v>
      </c>
      <c r="M17" s="1">
        <v>14000</v>
      </c>
      <c r="N17" s="1">
        <f>VLOOKUP(A17,[1]Sheet1!$A$3:$J$25,5,FALSE)</f>
        <v>30</v>
      </c>
      <c r="O17" s="1" t="str">
        <f>VLOOKUP(A17,[1]Sheet1!$A$3:$B$25,2,FALSE)</f>
        <v>NCR</v>
      </c>
      <c r="P17" s="3">
        <f>VLOOKUP(A17,[1]Sheet1!$A$3:$H$25,8,FALSE)</f>
        <v>30</v>
      </c>
      <c r="Q17" s="1" t="s">
        <v>16</v>
      </c>
      <c r="R17" s="1" t="s">
        <v>16</v>
      </c>
      <c r="S17" s="1" t="s">
        <v>16</v>
      </c>
      <c r="T17" s="1" t="s">
        <v>16</v>
      </c>
      <c r="U17" s="1" t="s">
        <v>16</v>
      </c>
      <c r="V17" s="1" t="s">
        <v>16</v>
      </c>
      <c r="W17" s="1" t="s">
        <v>16</v>
      </c>
    </row>
    <row r="18" spans="1:23" x14ac:dyDescent="0.25">
      <c r="A18" s="1" t="s">
        <v>34</v>
      </c>
      <c r="B18" s="1" t="s">
        <v>41</v>
      </c>
      <c r="C18" s="1" t="s">
        <v>45</v>
      </c>
      <c r="D18" s="1">
        <v>1</v>
      </c>
      <c r="E18" s="1">
        <v>0.1</v>
      </c>
      <c r="F18" s="1">
        <f t="shared" si="0"/>
        <v>10</v>
      </c>
      <c r="G18" s="1" t="s">
        <v>49</v>
      </c>
      <c r="H18" s="1">
        <v>45</v>
      </c>
      <c r="I18" s="1" t="str">
        <f t="shared" si="1"/>
        <v>T</v>
      </c>
      <c r="J18" s="1">
        <v>0.5</v>
      </c>
      <c r="K18" s="1">
        <v>2.5</v>
      </c>
      <c r="L18" s="1">
        <v>0.1</v>
      </c>
      <c r="M18" s="1">
        <v>10</v>
      </c>
      <c r="N18" s="1">
        <f>VLOOKUP(A18,[1]Sheet1!$A$3:$J$25,5,FALSE)</f>
        <v>40</v>
      </c>
      <c r="O18" s="1" t="str">
        <f>VLOOKUP(A18,[1]Sheet1!$A$3:$B$25,2,FALSE)</f>
        <v>NCR</v>
      </c>
      <c r="P18" s="3">
        <f>VLOOKUP(A18,[1]Sheet1!$A$3:$H$25,8,FALSE)</f>
        <v>40</v>
      </c>
      <c r="Q18" s="1" t="s">
        <v>16</v>
      </c>
      <c r="R18" s="1" t="s">
        <v>16</v>
      </c>
      <c r="S18" s="1" t="s">
        <v>16</v>
      </c>
      <c r="T18" s="1" t="s">
        <v>16</v>
      </c>
      <c r="U18" s="1" t="s">
        <v>16</v>
      </c>
      <c r="V18" s="1" t="s">
        <v>16</v>
      </c>
      <c r="W18" s="1" t="s">
        <v>16</v>
      </c>
    </row>
    <row r="19" spans="1:23" x14ac:dyDescent="0.25">
      <c r="A19" s="1" t="s">
        <v>35</v>
      </c>
      <c r="B19" s="1" t="s">
        <v>63</v>
      </c>
      <c r="C19" s="1" t="s">
        <v>44</v>
      </c>
      <c r="D19" s="1">
        <v>1</v>
      </c>
      <c r="E19" s="1">
        <v>1.5</v>
      </c>
      <c r="F19" s="1">
        <f t="shared" si="0"/>
        <v>20</v>
      </c>
      <c r="G19" s="1" t="s">
        <v>49</v>
      </c>
      <c r="H19" s="1">
        <v>30</v>
      </c>
      <c r="I19" s="1" t="str">
        <f t="shared" si="1"/>
        <v>F</v>
      </c>
      <c r="J19" s="1">
        <v>2.9</v>
      </c>
      <c r="K19" s="1">
        <v>6.6</v>
      </c>
      <c r="L19" s="1">
        <v>1</v>
      </c>
      <c r="M19" s="1">
        <v>20</v>
      </c>
      <c r="N19" s="1">
        <f>VLOOKUP(A19,[1]Sheet1!$A$3:$J$25,5,FALSE)</f>
        <v>15</v>
      </c>
      <c r="O19" s="1">
        <f>VLOOKUP(A19,[1]Sheet1!$A$3:$B$25,2,FALSE)</f>
        <v>20</v>
      </c>
      <c r="P19" s="3">
        <f>VLOOKUP(A19,[1]Sheet1!$A$3:$H$25,8,FALSE)</f>
        <v>15</v>
      </c>
      <c r="Q19" s="1" t="s">
        <v>16</v>
      </c>
      <c r="R19" s="1" t="s">
        <v>16</v>
      </c>
      <c r="S19" s="1" t="s">
        <v>16</v>
      </c>
      <c r="T19" s="1" t="s">
        <v>16</v>
      </c>
      <c r="U19" s="1" t="s">
        <v>16</v>
      </c>
      <c r="V19" s="1" t="s">
        <v>16</v>
      </c>
      <c r="W19" s="1" t="s">
        <v>16</v>
      </c>
    </row>
    <row r="20" spans="1:23" x14ac:dyDescent="0.25">
      <c r="A20" s="1" t="s">
        <v>60</v>
      </c>
      <c r="B20" s="1" t="s">
        <v>42</v>
      </c>
      <c r="C20" s="1" t="s">
        <v>45</v>
      </c>
      <c r="D20" s="1">
        <v>1</v>
      </c>
      <c r="E20" s="1">
        <v>7</v>
      </c>
      <c r="F20" s="1">
        <f t="shared" si="0"/>
        <v>50</v>
      </c>
      <c r="G20" s="1" t="s">
        <v>49</v>
      </c>
      <c r="H20" s="1">
        <v>30</v>
      </c>
      <c r="I20" s="1" t="str">
        <f t="shared" si="1"/>
        <v>F</v>
      </c>
      <c r="J20" s="1">
        <v>17</v>
      </c>
      <c r="K20" s="1">
        <v>25</v>
      </c>
      <c r="L20" s="1">
        <v>5</v>
      </c>
      <c r="M20" s="1">
        <v>50</v>
      </c>
      <c r="N20" s="1">
        <f>VLOOKUP(A20,[1]Sheet1!$A$3:$J$25,5,FALSE)</f>
        <v>20</v>
      </c>
      <c r="O20" s="1">
        <f>VLOOKUP(A20,[1]Sheet1!$A$3:$B$25,2,FALSE)</f>
        <v>20</v>
      </c>
      <c r="P20" s="3">
        <f>VLOOKUP(A20,[1]Sheet1!$A$3:$H$25,8,FALSE)</f>
        <v>20</v>
      </c>
      <c r="Q20" s="1" t="s">
        <v>16</v>
      </c>
      <c r="R20" s="1" t="s">
        <v>16</v>
      </c>
      <c r="S20" s="1" t="s">
        <v>16</v>
      </c>
      <c r="T20" s="1" t="s">
        <v>16</v>
      </c>
      <c r="U20" s="1" t="s">
        <v>16</v>
      </c>
      <c r="V20" s="1" t="s">
        <v>16</v>
      </c>
      <c r="W20" s="1" t="s">
        <v>16</v>
      </c>
    </row>
    <row r="21" spans="1:23" x14ac:dyDescent="0.25">
      <c r="A21" s="1" t="s">
        <v>68</v>
      </c>
      <c r="B21" s="1" t="s">
        <v>71</v>
      </c>
      <c r="C21" s="1" t="s">
        <v>45</v>
      </c>
      <c r="D21" s="1">
        <v>1</v>
      </c>
      <c r="E21" s="1">
        <v>2</v>
      </c>
      <c r="F21" s="1">
        <f t="shared" si="0"/>
        <v>9</v>
      </c>
      <c r="G21" s="1" t="s">
        <v>49</v>
      </c>
      <c r="H21" s="1">
        <v>20</v>
      </c>
      <c r="I21" s="1" t="str">
        <f t="shared" si="1"/>
        <v>F</v>
      </c>
      <c r="J21" s="1">
        <v>3.7</v>
      </c>
      <c r="K21" s="1">
        <v>5.8</v>
      </c>
      <c r="L21" s="1">
        <v>2.5</v>
      </c>
      <c r="M21" s="1">
        <v>9</v>
      </c>
      <c r="N21" s="1">
        <f>VLOOKUP(A21,[1]Sheet1!$A$3:$J$25,5,FALSE)</f>
        <v>5</v>
      </c>
      <c r="O21" s="1">
        <f>VLOOKUP(A21,[1]Sheet1!$A$3:$B$25,2,FALSE)</f>
        <v>10</v>
      </c>
      <c r="P21" s="3">
        <f>VLOOKUP(A21,[1]Sheet1!$A$3:$H$25,8,FALSE)</f>
        <v>5</v>
      </c>
      <c r="Q21" s="1" t="s">
        <v>16</v>
      </c>
      <c r="R21" s="1" t="s">
        <v>16</v>
      </c>
      <c r="S21" s="1" t="s">
        <v>16</v>
      </c>
      <c r="T21" s="1" t="s">
        <v>16</v>
      </c>
      <c r="U21" s="1" t="s">
        <v>16</v>
      </c>
      <c r="V21" s="1" t="s">
        <v>16</v>
      </c>
      <c r="W21" s="1" t="s">
        <v>16</v>
      </c>
    </row>
    <row r="22" spans="1:23" x14ac:dyDescent="0.25">
      <c r="A22" s="1" t="s">
        <v>69</v>
      </c>
      <c r="B22" s="1" t="s">
        <v>72</v>
      </c>
      <c r="C22" s="1" t="s">
        <v>45</v>
      </c>
      <c r="D22" s="1">
        <v>0</v>
      </c>
      <c r="E22" s="1">
        <v>100</v>
      </c>
      <c r="F22" s="1">
        <f t="shared" si="0"/>
        <v>200</v>
      </c>
      <c r="G22" s="1" t="s">
        <v>49</v>
      </c>
      <c r="H22" s="1">
        <v>20</v>
      </c>
      <c r="I22" s="1" t="str">
        <f t="shared" si="1"/>
        <v>F</v>
      </c>
      <c r="J22" s="1">
        <v>138</v>
      </c>
      <c r="K22" s="1">
        <v>160</v>
      </c>
      <c r="L22" s="1">
        <v>110</v>
      </c>
      <c r="M22" s="1">
        <v>200</v>
      </c>
      <c r="N22" s="1">
        <f>VLOOKUP(A22,[1]Sheet1!$A$3:$J$25,5,FALSE)</f>
        <v>5</v>
      </c>
      <c r="O22" s="1">
        <f>VLOOKUP(A22,[1]Sheet1!$A$3:$B$25,2,FALSE)</f>
        <v>5</v>
      </c>
      <c r="P22" s="3">
        <f>VLOOKUP(A22,[1]Sheet1!$A$3:$H$25,8,FALSE)</f>
        <v>5</v>
      </c>
      <c r="Q22" s="1" t="s">
        <v>16</v>
      </c>
      <c r="R22" s="1" t="s">
        <v>16</v>
      </c>
      <c r="S22" s="1" t="s">
        <v>16</v>
      </c>
      <c r="T22" s="1" t="s">
        <v>16</v>
      </c>
      <c r="U22" s="1" t="s">
        <v>16</v>
      </c>
      <c r="V22" s="1" t="s">
        <v>16</v>
      </c>
      <c r="W22" s="1" t="s">
        <v>16</v>
      </c>
    </row>
    <row r="23" spans="1:23" x14ac:dyDescent="0.25">
      <c r="A23" s="1" t="s">
        <v>70</v>
      </c>
      <c r="B23" s="1" t="s">
        <v>73</v>
      </c>
      <c r="C23" s="1" t="s">
        <v>45</v>
      </c>
      <c r="D23" s="1">
        <v>0</v>
      </c>
      <c r="E23" s="1">
        <v>70</v>
      </c>
      <c r="F23" s="1">
        <f t="shared" si="0"/>
        <v>150</v>
      </c>
      <c r="G23" s="1" t="s">
        <v>49</v>
      </c>
      <c r="H23" s="1">
        <v>20</v>
      </c>
      <c r="I23" s="1" t="str">
        <f t="shared" si="1"/>
        <v>F</v>
      </c>
      <c r="J23" s="1">
        <v>95</v>
      </c>
      <c r="K23" s="1">
        <v>119</v>
      </c>
      <c r="L23" s="1">
        <v>75</v>
      </c>
      <c r="M23" s="1">
        <v>150</v>
      </c>
      <c r="N23" s="1">
        <f>VLOOKUP(A23,[1]Sheet1!$A$3:$J$25,5,FALSE)</f>
        <v>5</v>
      </c>
      <c r="O23" s="1">
        <f>VLOOKUP(A23,[1]Sheet1!$A$3:$B$25,2,FALSE)</f>
        <v>5</v>
      </c>
      <c r="P23" s="3">
        <f>VLOOKUP(A23,[1]Sheet1!$A$3:$H$25,8,FALSE)</f>
        <v>5</v>
      </c>
      <c r="Q23" s="1" t="s">
        <v>16</v>
      </c>
      <c r="R23" s="1" t="s">
        <v>16</v>
      </c>
      <c r="S23" s="1" t="s">
        <v>16</v>
      </c>
      <c r="T23" s="1" t="s">
        <v>16</v>
      </c>
      <c r="U23" s="1" t="s">
        <v>16</v>
      </c>
      <c r="V23" s="1" t="s">
        <v>16</v>
      </c>
      <c r="W23" s="1" t="s">
        <v>16</v>
      </c>
    </row>
    <row r="24" spans="1:23" x14ac:dyDescent="0.25">
      <c r="A24" s="1" t="s">
        <v>74</v>
      </c>
      <c r="B24" s="1" t="s">
        <v>75</v>
      </c>
      <c r="C24" s="1" t="s">
        <v>44</v>
      </c>
      <c r="D24" s="1">
        <v>2</v>
      </c>
      <c r="E24" s="1">
        <v>0.75</v>
      </c>
      <c r="F24" s="1">
        <f t="shared" si="0"/>
        <v>8</v>
      </c>
      <c r="G24" s="1" t="s">
        <v>49</v>
      </c>
      <c r="H24" s="1">
        <v>30</v>
      </c>
      <c r="I24" s="1" t="str">
        <f t="shared" si="1"/>
        <v>F</v>
      </c>
      <c r="J24" s="1">
        <v>1.4</v>
      </c>
      <c r="K24" s="1">
        <v>2.38</v>
      </c>
      <c r="L24" s="1">
        <v>0.5</v>
      </c>
      <c r="M24" s="1">
        <v>8</v>
      </c>
      <c r="N24" s="1">
        <f>VLOOKUP(A24,[1]Sheet1!$A$3:$J$25,5,FALSE)</f>
        <v>20</v>
      </c>
      <c r="O24" s="1">
        <f>VLOOKUP(A24,[1]Sheet1!$A$3:$B$25,2,FALSE)</f>
        <v>20</v>
      </c>
      <c r="P24" s="3">
        <f>VLOOKUP(A24,[1]Sheet1!$A$3:$H$25,8,FALSE)</f>
        <v>20</v>
      </c>
      <c r="Q24" s="1" t="s">
        <v>16</v>
      </c>
      <c r="R24" s="1" t="s">
        <v>16</v>
      </c>
      <c r="S24" s="1" t="s">
        <v>16</v>
      </c>
      <c r="T24" s="1" t="s">
        <v>16</v>
      </c>
      <c r="U24" s="1" t="s">
        <v>16</v>
      </c>
      <c r="V24" s="1" t="s">
        <v>16</v>
      </c>
      <c r="W24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Pangarkar</dc:creator>
  <cp:lastModifiedBy>Chinmay Pangarkar</cp:lastModifiedBy>
  <dcterms:created xsi:type="dcterms:W3CDTF">2020-05-18T21:11:36Z</dcterms:created>
  <dcterms:modified xsi:type="dcterms:W3CDTF">2026-04-30T21:15:21Z</dcterms:modified>
</cp:coreProperties>
</file>